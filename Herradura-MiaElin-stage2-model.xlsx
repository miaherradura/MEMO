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iaherradura/Downloads/"/>
    </mc:Choice>
  </mc:AlternateContent>
  <xr:revisionPtr revIDLastSave="0" documentId="8_{47DADF33-B694-7B45-8EC3-26A098A3947C}" xr6:coauthVersionLast="47" xr6:coauthVersionMax="47" xr10:uidLastSave="{00000000-0000-0000-0000-000000000000}"/>
  <bookViews>
    <workbookView xWindow="13820" yWindow="680" windowWidth="16420" windowHeight="18980" activeTab="1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C41" i="2"/>
  <c r="D41" i="2" s="1"/>
  <c r="F29" i="2"/>
  <c r="F30" i="2" s="1"/>
  <c r="F21" i="2"/>
  <c r="F22" i="2" s="1"/>
  <c r="F18" i="2"/>
  <c r="F14" i="2"/>
  <c r="C41" i="1"/>
  <c r="C42" i="1" s="1"/>
  <c r="C40" i="1"/>
  <c r="H40" i="1" s="1"/>
  <c r="H39" i="1"/>
  <c r="D39" i="1"/>
  <c r="H38" i="1"/>
  <c r="D38" i="1"/>
  <c r="C38" i="1"/>
  <c r="C37" i="1" s="1"/>
  <c r="G27" i="1"/>
  <c r="F27" i="1"/>
  <c r="F28" i="1" s="1"/>
  <c r="F21" i="1"/>
  <c r="F22" i="1" s="1"/>
  <c r="F23" i="1" s="1"/>
  <c r="F24" i="1" s="1"/>
  <c r="C43" i="1" l="1"/>
  <c r="H42" i="1"/>
  <c r="D42" i="1"/>
  <c r="J41" i="2"/>
  <c r="G41" i="2" s="1"/>
  <c r="J42" i="2"/>
  <c r="H37" i="1"/>
  <c r="C36" i="1"/>
  <c r="D37" i="1"/>
  <c r="I40" i="1"/>
  <c r="F33" i="1"/>
  <c r="F42" i="1"/>
  <c r="I38" i="1"/>
  <c r="F44" i="1"/>
  <c r="F45" i="1"/>
  <c r="F39" i="1"/>
  <c r="F36" i="1"/>
  <c r="F34" i="1"/>
  <c r="F40" i="1"/>
  <c r="F37" i="1"/>
  <c r="I42" i="1"/>
  <c r="F35" i="1"/>
  <c r="F41" i="1"/>
  <c r="F43" i="1"/>
  <c r="I39" i="1"/>
  <c r="F38" i="1"/>
  <c r="F25" i="2"/>
  <c r="F26" i="2" s="1"/>
  <c r="F23" i="2"/>
  <c r="F24" i="2" s="1"/>
  <c r="J40" i="1"/>
  <c r="J41" i="1"/>
  <c r="J38" i="1"/>
  <c r="G38" i="1" s="1"/>
  <c r="J42" i="1"/>
  <c r="J37" i="1"/>
  <c r="J43" i="1"/>
  <c r="J39" i="1"/>
  <c r="G39" i="1" s="1"/>
  <c r="E41" i="2"/>
  <c r="E38" i="1"/>
  <c r="C42" i="2"/>
  <c r="D40" i="1"/>
  <c r="C40" i="2"/>
  <c r="J40" i="2" s="1"/>
  <c r="H41" i="1"/>
  <c r="H41" i="2"/>
  <c r="E39" i="1"/>
  <c r="D41" i="1"/>
  <c r="F45" i="2" l="1"/>
  <c r="F39" i="2"/>
  <c r="F37" i="2"/>
  <c r="I41" i="2"/>
  <c r="F36" i="2"/>
  <c r="F46" i="2"/>
  <c r="F40" i="2"/>
  <c r="F42" i="2"/>
  <c r="F43" i="2"/>
  <c r="I42" i="2"/>
  <c r="F47" i="2"/>
  <c r="F41" i="2"/>
  <c r="K41" i="2" s="1"/>
  <c r="F35" i="2"/>
  <c r="F44" i="2"/>
  <c r="F38" i="2"/>
  <c r="K39" i="1"/>
  <c r="L39" i="1"/>
  <c r="D36" i="1"/>
  <c r="C35" i="1"/>
  <c r="H36" i="1"/>
  <c r="E41" i="1"/>
  <c r="G41" i="1"/>
  <c r="G42" i="1"/>
  <c r="E42" i="1"/>
  <c r="G37" i="1"/>
  <c r="E37" i="1"/>
  <c r="D42" i="2"/>
  <c r="C43" i="2"/>
  <c r="H42" i="2"/>
  <c r="I41" i="1"/>
  <c r="H40" i="2"/>
  <c r="C39" i="2"/>
  <c r="D40" i="2"/>
  <c r="I40" i="2" s="1"/>
  <c r="G40" i="1"/>
  <c r="E40" i="1"/>
  <c r="J36" i="1"/>
  <c r="L38" i="1"/>
  <c r="K38" i="1"/>
  <c r="I37" i="1"/>
  <c r="D43" i="1"/>
  <c r="C44" i="1"/>
  <c r="H43" i="1"/>
  <c r="L42" i="1" l="1"/>
  <c r="K42" i="1"/>
  <c r="L40" i="1"/>
  <c r="K40" i="1"/>
  <c r="K41" i="1"/>
  <c r="L41" i="1"/>
  <c r="C38" i="2"/>
  <c r="D39" i="2"/>
  <c r="H39" i="2"/>
  <c r="J39" i="2"/>
  <c r="D44" i="1"/>
  <c r="C45" i="1"/>
  <c r="H44" i="1"/>
  <c r="J44" i="1"/>
  <c r="G40" i="2"/>
  <c r="E40" i="2"/>
  <c r="D35" i="1"/>
  <c r="H35" i="1"/>
  <c r="C34" i="1"/>
  <c r="J35" i="1"/>
  <c r="G43" i="1"/>
  <c r="E43" i="1"/>
  <c r="I43" i="1"/>
  <c r="E36" i="1"/>
  <c r="G36" i="1"/>
  <c r="I36" i="1"/>
  <c r="L41" i="2"/>
  <c r="C44" i="2"/>
  <c r="H43" i="2"/>
  <c r="D43" i="2"/>
  <c r="J43" i="2"/>
  <c r="E42" i="2"/>
  <c r="G42" i="2"/>
  <c r="L37" i="1"/>
  <c r="K37" i="1"/>
  <c r="L36" i="1" l="1"/>
  <c r="K36" i="1"/>
  <c r="H45" i="1"/>
  <c r="D45" i="1"/>
  <c r="J45" i="1"/>
  <c r="E44" i="1"/>
  <c r="G44" i="1"/>
  <c r="I44" i="1"/>
  <c r="L43" i="1"/>
  <c r="K43" i="1"/>
  <c r="H34" i="1"/>
  <c r="C33" i="1"/>
  <c r="D34" i="1"/>
  <c r="J34" i="1"/>
  <c r="D38" i="2"/>
  <c r="C37" i="2"/>
  <c r="H38" i="2"/>
  <c r="J38" i="2"/>
  <c r="G35" i="1"/>
  <c r="E35" i="1"/>
  <c r="I35" i="1"/>
  <c r="G39" i="2"/>
  <c r="E39" i="2"/>
  <c r="I39" i="2"/>
  <c r="D44" i="2"/>
  <c r="H44" i="2"/>
  <c r="C45" i="2"/>
  <c r="J44" i="2"/>
  <c r="L40" i="2"/>
  <c r="K40" i="2"/>
  <c r="L42" i="2"/>
  <c r="K42" i="2"/>
  <c r="G43" i="2"/>
  <c r="E43" i="2"/>
  <c r="I43" i="2"/>
  <c r="D33" i="1" l="1"/>
  <c r="H33" i="1"/>
  <c r="J33" i="1"/>
  <c r="G33" i="1" s="1"/>
  <c r="F29" i="1" s="1"/>
  <c r="L39" i="2"/>
  <c r="K39" i="2"/>
  <c r="K44" i="1"/>
  <c r="L44" i="1"/>
  <c r="E38" i="2"/>
  <c r="G38" i="2"/>
  <c r="I38" i="2"/>
  <c r="L35" i="1"/>
  <c r="K35" i="1"/>
  <c r="H37" i="2"/>
  <c r="C36" i="2"/>
  <c r="D37" i="2"/>
  <c r="J37" i="2"/>
  <c r="G45" i="1"/>
  <c r="E45" i="1"/>
  <c r="I45" i="1"/>
  <c r="H45" i="2"/>
  <c r="D45" i="2"/>
  <c r="C46" i="2"/>
  <c r="J45" i="2"/>
  <c r="L43" i="2"/>
  <c r="K43" i="2"/>
  <c r="E44" i="2"/>
  <c r="G44" i="2"/>
  <c r="I44" i="2"/>
  <c r="G34" i="1"/>
  <c r="E34" i="1"/>
  <c r="I34" i="1"/>
  <c r="G37" i="2" l="1"/>
  <c r="E37" i="2"/>
  <c r="I37" i="2"/>
  <c r="H46" i="2"/>
  <c r="D46" i="2"/>
  <c r="C47" i="2"/>
  <c r="J46" i="2"/>
  <c r="L38" i="2"/>
  <c r="K38" i="2"/>
  <c r="L34" i="1"/>
  <c r="K34" i="1"/>
  <c r="L45" i="1"/>
  <c r="K45" i="1"/>
  <c r="L44" i="2"/>
  <c r="K44" i="2"/>
  <c r="C35" i="2"/>
  <c r="D36" i="2"/>
  <c r="H36" i="2"/>
  <c r="J36" i="2"/>
  <c r="G45" i="2"/>
  <c r="E45" i="2"/>
  <c r="I45" i="2"/>
  <c r="E33" i="1"/>
  <c r="I33" i="1"/>
  <c r="L33" i="1" l="1"/>
  <c r="K33" i="1"/>
  <c r="K45" i="2"/>
  <c r="L45" i="2"/>
  <c r="E36" i="2"/>
  <c r="G36" i="2"/>
  <c r="I36" i="2"/>
  <c r="H47" i="2"/>
  <c r="D47" i="2"/>
  <c r="J47" i="2"/>
  <c r="L37" i="2"/>
  <c r="K37" i="2"/>
  <c r="G46" i="2"/>
  <c r="E46" i="2"/>
  <c r="I46" i="2"/>
  <c r="D35" i="2"/>
  <c r="H35" i="2"/>
  <c r="J35" i="2"/>
  <c r="G35" i="2" l="1"/>
  <c r="E35" i="2"/>
  <c r="I35" i="2"/>
  <c r="G47" i="2"/>
  <c r="E47" i="2"/>
  <c r="I47" i="2"/>
  <c r="L36" i="2"/>
  <c r="K36" i="2"/>
  <c r="L46" i="2"/>
  <c r="K46" i="2"/>
  <c r="L47" i="2" l="1"/>
  <c r="K47" i="2"/>
  <c r="K35" i="2"/>
  <c r="L35" i="2"/>
  <c r="F31" i="2"/>
</calcChain>
</file>

<file path=xl/sharedStrings.xml><?xml version="1.0" encoding="utf-8"?>
<sst xmlns="http://schemas.openxmlformats.org/spreadsheetml/2006/main" count="97" uniqueCount="60">
  <si>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</si>
  <si>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</si>
  <si>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</si>
  <si>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</si>
  <si>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</si>
  <si>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</si>
  <si>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</si>
  <si>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</si>
  <si>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</si>
  <si>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</si>
  <si>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</si>
  <si>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</si>
  <si>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</si>
  <si>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</si>
  <si>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</si>
  <si>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</si>
  <si>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1. Forward Hedge</t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</si>
  <si>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</si>
  <si>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</si>
  <si>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</si>
  <si>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</si>
  <si>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</si>
  <si>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</si>
  <si>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</si>
  <si>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</si>
  <si>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</si>
  <si>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</si>
  <si>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</si>
  <si>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</si>
  <si>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</si>
  <si>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</si>
  <si>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</si>
  <si>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</si>
  <si>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</si>
  <si>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</si>
  <si>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</si>
  <si>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</si>
  <si>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</si>
  <si>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Payables</t>
    </r>
  </si>
  <si>
    <r>
      <rPr>
        <sz val="18"/>
        <color theme="1"/>
        <rFont val="Arial"/>
        <family val="2"/>
      </rPr>
      <t xml:space="preserve">Suppose Boeing imported a Rolls-Royce jet engine for </t>
    </r>
    <r>
      <rPr>
        <b/>
        <sz val="18"/>
        <color theme="1"/>
        <rFont val="Arial"/>
        <family val="2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</si>
  <si>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</si>
  <si>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</si>
  <si>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Buy</t>
    </r>
    <r>
      <rPr>
        <sz val="18"/>
        <color theme="1"/>
        <rFont val="Arial"/>
        <family val="2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</si>
  <si>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</si>
  <si>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</si>
  <si>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</si>
  <si>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</si>
  <si>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</si>
  <si>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</si>
  <si>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</si>
  <si>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</si>
  <si>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</si>
  <si>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</si>
  <si>
    <t>Scenario #4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</si>
  <si>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EUR/USD 1-Year Forward</t>
    </r>
  </si>
  <si>
    <t>Current EUR/USD Spot Exchange Rate</t>
  </si>
  <si>
    <t>EUR/USD 1-Year Forward Exchange Rate</t>
  </si>
  <si>
    <t>EUR/USD Put Strike Price</t>
  </si>
  <si>
    <t>EUR/USD Put Price</t>
  </si>
  <si>
    <t>EUR 1-Year Interest Rate (foreign)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</si>
</sst>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£]#,##0"/>
    <numFmt numFmtId="165" formatCode="&quot;$&quot;#,##0.00"/>
    <numFmt numFmtId="166" formatCode="&quot;$&quot;#,##0"/>
    <numFmt numFmtId="168" formatCode="_([$€-2]\ * #,##0.00_);_([$€-2]\ * \(#,##0.00\);_([$€-2]\ * &quot;-&quot;??_);_(@_)"/>
    <numFmt numFmtId="170" formatCode="&quot;$&quot;#,##0.0000"/>
  </numFmts>
  <fonts count="12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1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3" fillId="0" borderId="35" xfId="0" applyFont="1" applyBorder="1"/>
    <xf numFmtId="0" fontId="2" fillId="6" borderId="34" xfId="0" applyFont="1" applyFill="1" applyBorder="1" applyAlignment="1">
      <alignment horizontal="center" vertical="top"/>
    </xf>
    <xf numFmtId="168" fontId="1" fillId="3" borderId="11" xfId="0" applyNumberFormat="1" applyFont="1" applyFill="1" applyBorder="1" applyAlignment="1">
      <alignment vertical="top"/>
    </xf>
    <xf numFmtId="0" fontId="7" fillId="0" borderId="2" xfId="0" applyFont="1" applyBorder="1" applyAlignment="1">
      <alignment vertical="top" wrapText="1"/>
    </xf>
    <xf numFmtId="0" fontId="7" fillId="0" borderId="22" xfId="0" applyFont="1" applyBorder="1" applyAlignment="1">
      <alignment vertical="top"/>
    </xf>
    <xf numFmtId="170" fontId="1" fillId="3" borderId="11" xfId="0" applyNumberFormat="1" applyFont="1" applyFill="1" applyBorder="1" applyAlignment="1">
      <alignment vertical="top"/>
    </xf>
    <xf numFmtId="170" fontId="1" fillId="5" borderId="11" xfId="0" applyNumberFormat="1" applyFont="1" applyFill="1" applyBorder="1" applyAlignment="1">
      <alignment vertical="top"/>
    </xf>
    <xf numFmtId="170" fontId="1" fillId="3" borderId="11" xfId="0" applyNumberFormat="1" applyFont="1" applyFill="1" applyBorder="1"/>
    <xf numFmtId="170" fontId="1" fillId="3" borderId="1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zoomScale="40" workbookViewId="0">
      <selection activeCell="F63" sqref="F63"/>
    </sheetView>
  </sheetViews>
  <sheetFormatPr baseColWidth="10" defaultColWidth="12.6640625" defaultRowHeight="15.75" customHeight="1" x14ac:dyDescent="0.15"/>
  <cols>
    <col min="1" max="1" width="3" customWidth="1"/>
    <col min="2" max="2" width="4.5" customWidth="1"/>
    <col min="3" max="3" width="43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15">
      <c r="A3" s="1"/>
      <c r="B3" s="2"/>
      <c r="C3" s="138" t="s">
        <v>53</v>
      </c>
      <c r="D3" s="115"/>
      <c r="E3" s="115"/>
      <c r="F3" s="115"/>
      <c r="G3" s="115"/>
      <c r="H3" s="115"/>
      <c r="I3" s="115"/>
      <c r="J3" s="12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28" t="s">
        <v>1</v>
      </c>
      <c r="D5" s="129"/>
      <c r="E5" s="129"/>
      <c r="F5" s="6" t="s">
        <v>2</v>
      </c>
      <c r="G5" s="7"/>
      <c r="H5" s="8" t="s">
        <v>3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4</v>
      </c>
      <c r="D6" s="11"/>
      <c r="E6" s="11"/>
      <c r="F6" s="137">
        <v>16987302</v>
      </c>
      <c r="G6" s="13"/>
      <c r="H6" s="14" t="s">
        <v>5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55</v>
      </c>
      <c r="D7" s="16"/>
      <c r="E7" s="16"/>
      <c r="F7" s="140">
        <v>1.7649999999999999</v>
      </c>
      <c r="G7" s="18"/>
      <c r="H7" s="19" t="s">
        <v>7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8</v>
      </c>
      <c r="D8" s="21"/>
      <c r="E8" s="21"/>
      <c r="F8" s="141"/>
      <c r="G8" s="9"/>
      <c r="H8" s="23" t="s">
        <v>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10</v>
      </c>
      <c r="D9" s="21"/>
      <c r="E9" s="21"/>
      <c r="F9" s="140">
        <v>3.67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59</v>
      </c>
      <c r="D10" s="21"/>
      <c r="E10" s="21"/>
      <c r="F10" s="140">
        <v>3.6909999999999998</v>
      </c>
      <c r="G10" s="25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13</v>
      </c>
      <c r="D11" s="16"/>
      <c r="E11" s="16"/>
      <c r="F11" s="141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56</v>
      </c>
      <c r="D12" s="16"/>
      <c r="E12" s="16"/>
      <c r="F12" s="140">
        <v>1.0934999999999999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15</v>
      </c>
      <c r="D13" s="2"/>
      <c r="E13" s="2"/>
      <c r="F13" s="141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57</v>
      </c>
      <c r="D14" s="29"/>
      <c r="E14" s="29"/>
      <c r="F14" s="142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58</v>
      </c>
      <c r="D15" s="32"/>
      <c r="E15" s="32"/>
      <c r="F15" s="143">
        <v>1.9E-2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30" t="s">
        <v>16</v>
      </c>
      <c r="D17" s="121"/>
      <c r="E17" s="121"/>
      <c r="F17" s="121"/>
      <c r="G17" s="121"/>
      <c r="H17" s="121"/>
      <c r="I17" s="121"/>
      <c r="J17" s="122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39" t="s">
        <v>54</v>
      </c>
      <c r="D18" s="118"/>
      <c r="E18" s="132"/>
      <c r="F18" s="38">
        <f>F6*for_GBPUSD</f>
        <v>18575614.737</v>
      </c>
      <c r="G18" s="117" t="s">
        <v>17</v>
      </c>
      <c r="H18" s="118"/>
      <c r="I18" s="118"/>
      <c r="J18" s="11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0" t="s">
        <v>18</v>
      </c>
      <c r="D20" s="121"/>
      <c r="E20" s="121"/>
      <c r="F20" s="121"/>
      <c r="G20" s="121"/>
      <c r="H20" s="121"/>
      <c r="I20" s="121"/>
      <c r="J20" s="122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23" t="s">
        <v>19</v>
      </c>
      <c r="D21" s="115"/>
      <c r="E21" s="124"/>
      <c r="F21" s="40">
        <f>F6/(1+F10)</f>
        <v>3621253.8904284802</v>
      </c>
      <c r="G21" s="114"/>
      <c r="H21" s="115"/>
      <c r="I21" s="115"/>
      <c r="J21" s="116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23" t="s">
        <v>20</v>
      </c>
      <c r="D22" s="115"/>
      <c r="E22" s="124"/>
      <c r="F22" s="41">
        <f>F21*F7</f>
        <v>6391513.1166062672</v>
      </c>
      <c r="G22" s="114"/>
      <c r="H22" s="115"/>
      <c r="I22" s="115"/>
      <c r="J22" s="116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23" t="s">
        <v>21</v>
      </c>
      <c r="D23" s="115"/>
      <c r="E23" s="124"/>
      <c r="F23" s="41">
        <f>F22*(1+F9)</f>
        <v>29848366.254551265</v>
      </c>
      <c r="G23" s="114"/>
      <c r="H23" s="115"/>
      <c r="I23" s="115"/>
      <c r="J23" s="116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42"/>
      <c r="D24" s="43"/>
      <c r="E24" s="43"/>
      <c r="F24" s="38">
        <f>F23</f>
        <v>29848366.254551265</v>
      </c>
      <c r="G24" s="117" t="s">
        <v>17</v>
      </c>
      <c r="H24" s="118"/>
      <c r="I24" s="118"/>
      <c r="J24" s="11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 x14ac:dyDescent="0.1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120" t="s">
        <v>22</v>
      </c>
      <c r="D26" s="121"/>
      <c r="E26" s="121"/>
      <c r="F26" s="121"/>
      <c r="G26" s="121"/>
      <c r="H26" s="121"/>
      <c r="I26" s="121"/>
      <c r="J26" s="122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25">
      <c r="A27" s="1"/>
      <c r="B27" s="4"/>
      <c r="C27" s="123" t="s">
        <v>23</v>
      </c>
      <c r="D27" s="115"/>
      <c r="E27" s="124"/>
      <c r="F27" s="41">
        <f>-put_price*recievable</f>
        <v>-322758.73800000001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123" t="s">
        <v>24</v>
      </c>
      <c r="D28" s="115"/>
      <c r="E28" s="124"/>
      <c r="F28" s="41">
        <f>F27*(1+F9)</f>
        <v>-1507283.3064600001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15">
      <c r="A29" s="1"/>
      <c r="B29" s="4"/>
      <c r="C29" s="42"/>
      <c r="D29" s="45"/>
      <c r="E29" s="45"/>
      <c r="F29" s="46">
        <f>MIN(G33:G45)</f>
        <v>22274939.493539996</v>
      </c>
      <c r="G29" s="117" t="s">
        <v>25</v>
      </c>
      <c r="H29" s="118"/>
      <c r="I29" s="118"/>
      <c r="J29" s="11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1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133" t="s">
        <v>26</v>
      </c>
      <c r="D31" s="112" t="s">
        <v>27</v>
      </c>
      <c r="E31" s="135"/>
      <c r="F31" s="135"/>
      <c r="G31" s="113"/>
      <c r="H31" s="136" t="s">
        <v>28</v>
      </c>
      <c r="I31" s="135"/>
      <c r="J31" s="113"/>
      <c r="K31" s="112" t="s">
        <v>29</v>
      </c>
      <c r="L31" s="113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4"/>
      <c r="C32" s="134"/>
      <c r="D32" s="48" t="s">
        <v>30</v>
      </c>
      <c r="E32" s="49" t="s">
        <v>16</v>
      </c>
      <c r="F32" s="50" t="s">
        <v>18</v>
      </c>
      <c r="G32" s="51" t="s">
        <v>22</v>
      </c>
      <c r="H32" s="52" t="s">
        <v>31</v>
      </c>
      <c r="I32" s="53" t="s">
        <v>18</v>
      </c>
      <c r="J32" s="54" t="s">
        <v>22</v>
      </c>
      <c r="K32" s="48" t="s">
        <v>32</v>
      </c>
      <c r="L32" s="55" t="s">
        <v>33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56"/>
      <c r="B33" s="125" t="s">
        <v>34</v>
      </c>
      <c r="C33" s="57">
        <f t="shared" ref="C33:C38" si="0">C34-0.01</f>
        <v>1.4</v>
      </c>
      <c r="D33" s="58">
        <f t="shared" ref="D33:D45" si="1">C33*$F$6</f>
        <v>23782222.799999997</v>
      </c>
      <c r="E33" s="59">
        <f t="shared" ref="E33:E45" si="2">$D33+($F$12-C33)*$F$6</f>
        <v>18575614.736999996</v>
      </c>
      <c r="F33" s="60">
        <f t="shared" ref="F33:F45" si="3">$F$24</f>
        <v>29848366.254551265</v>
      </c>
      <c r="G33" s="61">
        <f>hedge_no+J33</f>
        <v>22274939.493539996</v>
      </c>
      <c r="H33" s="62">
        <f t="shared" ref="H33:H45" si="4">($F$12-C33)*$F$6</f>
        <v>-5206608.0630000001</v>
      </c>
      <c r="I33" s="63">
        <f t="shared" ref="I33:I45" si="5">$F$24-D33</f>
        <v>6066143.4545512684</v>
      </c>
      <c r="J33" s="64">
        <f t="shared" ref="J33:J45" si="6">fv_put_outlay+MAX(0,(x_put-gbpusd_1y_scenario)*recievable)</f>
        <v>-1507283.3064600001</v>
      </c>
      <c r="K33" s="65" t="str">
        <f t="shared" ref="K33:K45" si="7">IF(E33= MAX(D33,E33,F33,G33),$E$32,IF(F33= MAX(D33,E33,F33,G33),$F$32,IF(G33= MAX(D33,E33,F33,G33),$G$32,$D$32)))</f>
        <v>2. Money Market Hedge</v>
      </c>
      <c r="L33" s="66" t="str">
        <f t="shared" ref="L33:L45" si="8">IF(E33= MAX(E33,F33,G33),$E$32,IF(F33= MAX(E33,F33,G33),$F$32,$G$32))</f>
        <v>2. Money Market Hedge</v>
      </c>
      <c r="M33" s="9" t="s">
        <v>35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8" x14ac:dyDescent="0.25">
      <c r="A34" s="56"/>
      <c r="B34" s="126"/>
      <c r="C34" s="67">
        <f t="shared" si="0"/>
        <v>1.41</v>
      </c>
      <c r="D34" s="68">
        <f t="shared" si="1"/>
        <v>23952095.82</v>
      </c>
      <c r="E34" s="69">
        <f t="shared" si="2"/>
        <v>18575614.737</v>
      </c>
      <c r="F34" s="70">
        <f t="shared" si="3"/>
        <v>29848366.254551265</v>
      </c>
      <c r="G34" s="71">
        <f t="shared" ref="G34:G45" si="9">$D34+J34</f>
        <v>22444812.51354</v>
      </c>
      <c r="H34" s="72">
        <f t="shared" si="4"/>
        <v>-5376481.0829999996</v>
      </c>
      <c r="I34" s="73">
        <f t="shared" si="5"/>
        <v>5896270.4345512651</v>
      </c>
      <c r="J34" s="64">
        <f t="shared" si="6"/>
        <v>-1507283.3064600001</v>
      </c>
      <c r="K34" s="74" t="str">
        <f t="shared" si="7"/>
        <v>2. Money Market Hedge</v>
      </c>
      <c r="L34" s="75" t="str">
        <f t="shared" si="8"/>
        <v>2. Money Market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26"/>
      <c r="C35" s="67">
        <f t="shared" si="0"/>
        <v>1.42</v>
      </c>
      <c r="D35" s="68">
        <f t="shared" si="1"/>
        <v>24121968.84</v>
      </c>
      <c r="E35" s="69">
        <f t="shared" si="2"/>
        <v>18575614.737</v>
      </c>
      <c r="F35" s="70">
        <f t="shared" si="3"/>
        <v>29848366.254551265</v>
      </c>
      <c r="G35" s="71">
        <f t="shared" si="9"/>
        <v>22614685.533539999</v>
      </c>
      <c r="H35" s="72">
        <f t="shared" si="4"/>
        <v>-5546354.1030000001</v>
      </c>
      <c r="I35" s="73">
        <f t="shared" si="5"/>
        <v>5726397.4145512655</v>
      </c>
      <c r="J35" s="64">
        <f t="shared" si="6"/>
        <v>-1507283.3064600001</v>
      </c>
      <c r="K35" s="74" t="str">
        <f t="shared" si="7"/>
        <v>2. Money Market Hedge</v>
      </c>
      <c r="L35" s="75" t="str">
        <f t="shared" si="8"/>
        <v>2. Money Market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26"/>
      <c r="C36" s="67">
        <f t="shared" si="0"/>
        <v>1.43</v>
      </c>
      <c r="D36" s="68">
        <f t="shared" si="1"/>
        <v>24291841.859999999</v>
      </c>
      <c r="E36" s="69">
        <f t="shared" si="2"/>
        <v>18575614.737</v>
      </c>
      <c r="F36" s="70">
        <f t="shared" si="3"/>
        <v>29848366.254551265</v>
      </c>
      <c r="G36" s="71">
        <f t="shared" si="9"/>
        <v>22784558.553539999</v>
      </c>
      <c r="H36" s="72">
        <f t="shared" si="4"/>
        <v>-5716227.1230000006</v>
      </c>
      <c r="I36" s="73">
        <f t="shared" si="5"/>
        <v>5556524.394551266</v>
      </c>
      <c r="J36" s="64">
        <f t="shared" si="6"/>
        <v>-1507283.3064600001</v>
      </c>
      <c r="K36" s="74" t="str">
        <f t="shared" si="7"/>
        <v>2. Money Market Hedge</v>
      </c>
      <c r="L36" s="75" t="str">
        <f t="shared" si="8"/>
        <v>2. Money Market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26"/>
      <c r="C37" s="67">
        <f t="shared" si="0"/>
        <v>1.44</v>
      </c>
      <c r="D37" s="68">
        <f t="shared" si="1"/>
        <v>24461714.879999999</v>
      </c>
      <c r="E37" s="69">
        <f t="shared" si="2"/>
        <v>18575614.737</v>
      </c>
      <c r="F37" s="70">
        <f t="shared" si="3"/>
        <v>29848366.254551265</v>
      </c>
      <c r="G37" s="71">
        <f t="shared" si="9"/>
        <v>22954431.573539998</v>
      </c>
      <c r="H37" s="72">
        <f t="shared" si="4"/>
        <v>-5886100.1430000002</v>
      </c>
      <c r="I37" s="73">
        <f t="shared" si="5"/>
        <v>5386651.3745512664</v>
      </c>
      <c r="J37" s="64">
        <f t="shared" si="6"/>
        <v>-1507283.3064600001</v>
      </c>
      <c r="K37" s="74" t="str">
        <f t="shared" si="7"/>
        <v>2. Money Market Hedge</v>
      </c>
      <c r="L37" s="75" t="str">
        <f t="shared" si="8"/>
        <v>2. Money Market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26"/>
      <c r="C38" s="67">
        <f t="shared" si="0"/>
        <v>1.45</v>
      </c>
      <c r="D38" s="68">
        <f t="shared" si="1"/>
        <v>24631587.899999999</v>
      </c>
      <c r="E38" s="69">
        <f t="shared" si="2"/>
        <v>18575614.736999996</v>
      </c>
      <c r="F38" s="70">
        <f t="shared" si="3"/>
        <v>29848366.254551265</v>
      </c>
      <c r="G38" s="71">
        <f t="shared" si="9"/>
        <v>23124304.593539998</v>
      </c>
      <c r="H38" s="72">
        <f t="shared" si="4"/>
        <v>-6055973.1630000006</v>
      </c>
      <c r="I38" s="73">
        <f t="shared" si="5"/>
        <v>5216778.3545512669</v>
      </c>
      <c r="J38" s="64">
        <f t="shared" si="6"/>
        <v>-1507283.3064600001</v>
      </c>
      <c r="K38" s="74" t="str">
        <f t="shared" si="7"/>
        <v>2. Money Market Hedge</v>
      </c>
      <c r="L38" s="75" t="str">
        <f t="shared" si="8"/>
        <v>2. Money Market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26"/>
      <c r="C39" s="67">
        <v>1.46</v>
      </c>
      <c r="D39" s="68">
        <f t="shared" si="1"/>
        <v>24801460.919999998</v>
      </c>
      <c r="E39" s="69">
        <f t="shared" si="2"/>
        <v>18575614.736999996</v>
      </c>
      <c r="F39" s="70">
        <f t="shared" si="3"/>
        <v>29848366.254551265</v>
      </c>
      <c r="G39" s="71">
        <f t="shared" si="9"/>
        <v>23294177.613539997</v>
      </c>
      <c r="H39" s="72">
        <f t="shared" si="4"/>
        <v>-6225846.1830000011</v>
      </c>
      <c r="I39" s="73">
        <f t="shared" si="5"/>
        <v>5046905.3345512673</v>
      </c>
      <c r="J39" s="64">
        <f t="shared" si="6"/>
        <v>-1507283.3064600001</v>
      </c>
      <c r="K39" s="74" t="str">
        <f t="shared" si="7"/>
        <v>2. Money Market Hedge</v>
      </c>
      <c r="L39" s="75" t="str">
        <f t="shared" si="8"/>
        <v>2. Money Market Hedge</v>
      </c>
      <c r="M39" s="9" t="s">
        <v>36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26"/>
      <c r="C40" s="67">
        <f t="shared" ref="C40:C45" si="10">C39+0.01</f>
        <v>1.47</v>
      </c>
      <c r="D40" s="68">
        <f t="shared" si="1"/>
        <v>24971333.940000001</v>
      </c>
      <c r="E40" s="69">
        <f t="shared" si="2"/>
        <v>18575614.737</v>
      </c>
      <c r="F40" s="70">
        <f t="shared" si="3"/>
        <v>29848366.254551265</v>
      </c>
      <c r="G40" s="71">
        <f t="shared" si="9"/>
        <v>23464050.633540001</v>
      </c>
      <c r="H40" s="72">
        <f t="shared" si="4"/>
        <v>-6395719.2030000007</v>
      </c>
      <c r="I40" s="73">
        <f t="shared" si="5"/>
        <v>4877032.314551264</v>
      </c>
      <c r="J40" s="64">
        <f t="shared" si="6"/>
        <v>-1507283.3064600001</v>
      </c>
      <c r="K40" s="74" t="str">
        <f t="shared" si="7"/>
        <v>2. Money Market Hedge</v>
      </c>
      <c r="L40" s="75" t="str">
        <f t="shared" si="8"/>
        <v>2. Money Market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x14ac:dyDescent="0.25">
      <c r="A41" s="56"/>
      <c r="B41" s="126"/>
      <c r="C41" s="67">
        <f t="shared" si="10"/>
        <v>1.48</v>
      </c>
      <c r="D41" s="68">
        <f t="shared" si="1"/>
        <v>25141206.960000001</v>
      </c>
      <c r="E41" s="69">
        <f t="shared" si="2"/>
        <v>18575614.737</v>
      </c>
      <c r="F41" s="70">
        <f t="shared" si="3"/>
        <v>29848366.254551265</v>
      </c>
      <c r="G41" s="71">
        <f t="shared" si="9"/>
        <v>23633923.65354</v>
      </c>
      <c r="H41" s="72">
        <f t="shared" si="4"/>
        <v>-6565592.2230000012</v>
      </c>
      <c r="I41" s="73">
        <f t="shared" si="5"/>
        <v>4707159.2945512645</v>
      </c>
      <c r="J41" s="64">
        <f t="shared" si="6"/>
        <v>-1507283.3064600001</v>
      </c>
      <c r="K41" s="74" t="str">
        <f t="shared" si="7"/>
        <v>2. Money Market Hedge</v>
      </c>
      <c r="L41" s="75" t="str">
        <f t="shared" si="8"/>
        <v>2. Money Market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26"/>
      <c r="C42" s="67">
        <f t="shared" si="10"/>
        <v>1.49</v>
      </c>
      <c r="D42" s="68">
        <f t="shared" si="1"/>
        <v>25311079.98</v>
      </c>
      <c r="E42" s="69">
        <f t="shared" si="2"/>
        <v>18575614.737</v>
      </c>
      <c r="F42" s="70">
        <f t="shared" si="3"/>
        <v>29848366.254551265</v>
      </c>
      <c r="G42" s="71">
        <f t="shared" si="9"/>
        <v>23803796.67354</v>
      </c>
      <c r="H42" s="72">
        <f t="shared" si="4"/>
        <v>-6735465.2430000016</v>
      </c>
      <c r="I42" s="73">
        <f t="shared" si="5"/>
        <v>4537286.2745512649</v>
      </c>
      <c r="J42" s="64">
        <f t="shared" si="6"/>
        <v>-1507283.3064600001</v>
      </c>
      <c r="K42" s="74" t="str">
        <f t="shared" si="7"/>
        <v>2. Money Market Hedge</v>
      </c>
      <c r="L42" s="77" t="str">
        <f t="shared" si="8"/>
        <v>2. Money Market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26"/>
      <c r="C43" s="67">
        <f t="shared" si="10"/>
        <v>1.5</v>
      </c>
      <c r="D43" s="68">
        <f t="shared" si="1"/>
        <v>25480953</v>
      </c>
      <c r="E43" s="69">
        <f t="shared" si="2"/>
        <v>18575614.737</v>
      </c>
      <c r="F43" s="70">
        <f t="shared" si="3"/>
        <v>29848366.254551265</v>
      </c>
      <c r="G43" s="71">
        <f t="shared" si="9"/>
        <v>23973669.693539999</v>
      </c>
      <c r="H43" s="72">
        <f t="shared" si="4"/>
        <v>-6905338.2630000012</v>
      </c>
      <c r="I43" s="73">
        <f t="shared" si="5"/>
        <v>4367413.2545512654</v>
      </c>
      <c r="J43" s="64">
        <f t="shared" si="6"/>
        <v>-1507283.3064600001</v>
      </c>
      <c r="K43" s="74" t="str">
        <f t="shared" si="7"/>
        <v>2. Money Market Hedge</v>
      </c>
      <c r="L43" s="77" t="str">
        <f t="shared" si="8"/>
        <v>2. Money Market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26"/>
      <c r="C44" s="67">
        <f t="shared" si="10"/>
        <v>1.51</v>
      </c>
      <c r="D44" s="68">
        <f t="shared" si="1"/>
        <v>25650826.02</v>
      </c>
      <c r="E44" s="69">
        <f t="shared" si="2"/>
        <v>18575614.736999996</v>
      </c>
      <c r="F44" s="70">
        <f t="shared" si="3"/>
        <v>29848366.254551265</v>
      </c>
      <c r="G44" s="71">
        <f t="shared" si="9"/>
        <v>24143542.713539999</v>
      </c>
      <c r="H44" s="72">
        <f t="shared" si="4"/>
        <v>-7075211.2830000017</v>
      </c>
      <c r="I44" s="73">
        <f t="shared" si="5"/>
        <v>4197540.2345512658</v>
      </c>
      <c r="J44" s="64">
        <f t="shared" si="6"/>
        <v>-1507283.3064600001</v>
      </c>
      <c r="K44" s="74" t="str">
        <f t="shared" si="7"/>
        <v>2. Money Market Hedge</v>
      </c>
      <c r="L44" s="77" t="str">
        <f t="shared" si="8"/>
        <v>2. Money Market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27"/>
      <c r="C45" s="78">
        <f t="shared" si="10"/>
        <v>1.52</v>
      </c>
      <c r="D45" s="79">
        <f t="shared" si="1"/>
        <v>25820699.039999999</v>
      </c>
      <c r="E45" s="80">
        <f t="shared" si="2"/>
        <v>18575614.736999996</v>
      </c>
      <c r="F45" s="81">
        <f t="shared" si="3"/>
        <v>29848366.254551265</v>
      </c>
      <c r="G45" s="82">
        <f t="shared" si="9"/>
        <v>24313415.733539999</v>
      </c>
      <c r="H45" s="83">
        <f t="shared" si="4"/>
        <v>-7245084.3030000022</v>
      </c>
      <c r="I45" s="84">
        <f t="shared" si="5"/>
        <v>4027667.2145512663</v>
      </c>
      <c r="J45" s="64">
        <f t="shared" si="6"/>
        <v>-1507283.3064600001</v>
      </c>
      <c r="K45" s="85" t="str">
        <f t="shared" si="7"/>
        <v>2. Money Market Hedge</v>
      </c>
      <c r="L45" s="86" t="str">
        <f t="shared" si="8"/>
        <v>2. Money Market Hedge</v>
      </c>
      <c r="M45" s="9" t="s">
        <v>37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x14ac:dyDescent="0.1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tabSelected="1" workbookViewId="0"/>
  </sheetViews>
  <sheetFormatPr baseColWidth="10" defaultColWidth="12.6640625" defaultRowHeight="15.75" customHeight="1" x14ac:dyDescent="0.15"/>
  <cols>
    <col min="1" max="2" width="3" customWidth="1"/>
    <col min="3" max="12" width="24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114" t="s">
        <v>39</v>
      </c>
      <c r="D3" s="115"/>
      <c r="E3" s="115"/>
      <c r="F3" s="115"/>
      <c r="G3" s="115"/>
      <c r="H3" s="115"/>
      <c r="I3" s="115"/>
      <c r="J3" s="12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28" t="s">
        <v>1</v>
      </c>
      <c r="D5" s="129"/>
      <c r="E5" s="129"/>
      <c r="F5" s="6" t="s">
        <v>2</v>
      </c>
      <c r="G5" s="7"/>
      <c r="H5" s="8" t="s">
        <v>3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4</v>
      </c>
      <c r="D6" s="11"/>
      <c r="E6" s="11"/>
      <c r="F6" s="12">
        <v>5000000</v>
      </c>
      <c r="G6" s="13"/>
      <c r="H6" s="14" t="s">
        <v>5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6</v>
      </c>
      <c r="D7" s="16"/>
      <c r="E7" s="16"/>
      <c r="F7" s="17">
        <v>1.8</v>
      </c>
      <c r="G7" s="18"/>
      <c r="H7" s="19" t="s">
        <v>7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8</v>
      </c>
      <c r="D8" s="21"/>
      <c r="E8" s="21"/>
      <c r="F8" s="22"/>
      <c r="G8" s="9"/>
      <c r="H8" s="23" t="s">
        <v>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10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11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13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14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15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40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41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30" t="s">
        <v>16</v>
      </c>
      <c r="D17" s="121"/>
      <c r="E17" s="121"/>
      <c r="F17" s="121"/>
      <c r="G17" s="121"/>
      <c r="H17" s="121"/>
      <c r="I17" s="121"/>
      <c r="J17" s="122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31" t="s">
        <v>42</v>
      </c>
      <c r="D18" s="118"/>
      <c r="E18" s="132"/>
      <c r="F18" s="38">
        <f>contract_notional_value_payable*forward_price_payable</f>
        <v>8750000</v>
      </c>
      <c r="G18" s="117" t="s">
        <v>17</v>
      </c>
      <c r="H18" s="118"/>
      <c r="I18" s="118"/>
      <c r="J18" s="11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0" t="s">
        <v>18</v>
      </c>
      <c r="D20" s="121"/>
      <c r="E20" s="121"/>
      <c r="F20" s="121"/>
      <c r="G20" s="121"/>
      <c r="H20" s="121"/>
      <c r="I20" s="121"/>
      <c r="J20" s="122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23" t="s">
        <v>43</v>
      </c>
      <c r="D21" s="115"/>
      <c r="E21" s="124"/>
      <c r="F21" s="40">
        <f>contract_notional_value_payable/(1+rate_uk_1y_payable)</f>
        <v>4694835.6807511738</v>
      </c>
      <c r="G21" s="114"/>
      <c r="H21" s="115"/>
      <c r="I21" s="115"/>
      <c r="J21" s="116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23" t="s">
        <v>44</v>
      </c>
      <c r="D22" s="115"/>
      <c r="E22" s="124"/>
      <c r="F22" s="41">
        <f>F21*current_spot_price_payable</f>
        <v>8450704.2253521122</v>
      </c>
      <c r="G22" s="114"/>
      <c r="H22" s="115"/>
      <c r="I22" s="115"/>
      <c r="J22" s="116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23" t="s">
        <v>45</v>
      </c>
      <c r="D23" s="115"/>
      <c r="E23" s="124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123" t="s">
        <v>46</v>
      </c>
      <c r="D24" s="115"/>
      <c r="E24" s="124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123" t="s">
        <v>47</v>
      </c>
      <c r="D25" s="115"/>
      <c r="E25" s="124"/>
      <c r="F25" s="41">
        <f>F22*(1+rate_us_1y_payable)</f>
        <v>8957746.4788732398</v>
      </c>
      <c r="G25" s="114"/>
      <c r="H25" s="115"/>
      <c r="I25" s="115"/>
      <c r="J25" s="116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42"/>
      <c r="D26" s="43"/>
      <c r="E26" s="43"/>
      <c r="F26" s="38">
        <f>F25</f>
        <v>8957746.4788732398</v>
      </c>
      <c r="G26" s="117" t="s">
        <v>17</v>
      </c>
      <c r="H26" s="118"/>
      <c r="I26" s="118"/>
      <c r="J26" s="11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120" t="s">
        <v>22</v>
      </c>
      <c r="D28" s="121"/>
      <c r="E28" s="121"/>
      <c r="F28" s="121"/>
      <c r="G28" s="121"/>
      <c r="H28" s="121"/>
      <c r="I28" s="121"/>
      <c r="J28" s="122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123" t="s">
        <v>48</v>
      </c>
      <c r="D29" s="115"/>
      <c r="E29" s="124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25">
      <c r="A30" s="1"/>
      <c r="B30" s="4"/>
      <c r="C30" s="123" t="s">
        <v>24</v>
      </c>
      <c r="D30" s="115"/>
      <c r="E30" s="124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42"/>
      <c r="D31" s="45"/>
      <c r="E31" s="45"/>
      <c r="F31" s="46">
        <f>MAX(G35:G47)</f>
        <v>9053000.0000000019</v>
      </c>
      <c r="G31" s="117" t="s">
        <v>49</v>
      </c>
      <c r="H31" s="118"/>
      <c r="I31" s="118"/>
      <c r="J31" s="11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15">
      <c r="A33" s="1"/>
      <c r="B33" s="4"/>
      <c r="C33" s="133" t="s">
        <v>26</v>
      </c>
      <c r="D33" s="112" t="s">
        <v>50</v>
      </c>
      <c r="E33" s="135"/>
      <c r="F33" s="135"/>
      <c r="G33" s="113"/>
      <c r="H33" s="136" t="s">
        <v>28</v>
      </c>
      <c r="I33" s="135"/>
      <c r="J33" s="113"/>
      <c r="K33" s="112" t="s">
        <v>29</v>
      </c>
      <c r="L33" s="113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15">
      <c r="A34" s="1"/>
      <c r="B34" s="4"/>
      <c r="C34" s="134"/>
      <c r="D34" s="48" t="s">
        <v>30</v>
      </c>
      <c r="E34" s="49" t="s">
        <v>16</v>
      </c>
      <c r="F34" s="50" t="s">
        <v>18</v>
      </c>
      <c r="G34" s="51" t="s">
        <v>22</v>
      </c>
      <c r="H34" s="52" t="s">
        <v>31</v>
      </c>
      <c r="I34" s="53" t="s">
        <v>18</v>
      </c>
      <c r="J34" s="54" t="s">
        <v>22</v>
      </c>
      <c r="K34" s="48" t="s">
        <v>32</v>
      </c>
      <c r="L34" s="55" t="s">
        <v>33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25" t="s">
        <v>34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26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26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26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26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26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26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36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26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26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26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26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25">
      <c r="A46" s="56"/>
      <c r="B46" s="126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25">
      <c r="A47" s="56"/>
      <c r="B47" s="127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52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  <mergeCell ref="K33:L33"/>
    <mergeCell ref="G22:J22"/>
    <mergeCell ref="G25:J25"/>
    <mergeCell ref="G26:J26"/>
    <mergeCell ref="C28:J28"/>
    <mergeCell ref="C29:E29"/>
    <mergeCell ref="C30:E30"/>
    <mergeCell ref="G31:J31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 Elin Herradura</cp:lastModifiedBy>
  <dcterms:created xsi:type="dcterms:W3CDTF">2026-04-15T20:44:30Z</dcterms:created>
  <dcterms:modified xsi:type="dcterms:W3CDTF">2026-04-18T09:33:39Z</dcterms:modified>
</cp:coreProperties>
</file>